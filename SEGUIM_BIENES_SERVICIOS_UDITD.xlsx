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28515" windowHeight="126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Hoja1!$A$2:$O$2</definedName>
  </definedNames>
  <calcPr calcId="145621"/>
</workbook>
</file>

<file path=xl/calcChain.xml><?xml version="1.0" encoding="utf-8"?>
<calcChain xmlns="http://schemas.openxmlformats.org/spreadsheetml/2006/main">
  <c r="J31" i="1" l="1"/>
  <c r="F31" i="1"/>
</calcChain>
</file>

<file path=xl/sharedStrings.xml><?xml version="1.0" encoding="utf-8"?>
<sst xmlns="http://schemas.openxmlformats.org/spreadsheetml/2006/main" count="214" uniqueCount="119">
  <si>
    <t>SUNTDD20260000002</t>
  </si>
  <si>
    <t>Solicitud de elaboración de Especificaciones Técnicas de Software- UPTODATE</t>
  </si>
  <si>
    <t>COORDINACIÓN TECNICA DE INFORMATICA - VARGAS ALVAREZ RONALD</t>
  </si>
  <si>
    <t>SOLICITUD DE ELABORACIÓN DE ESPECIFICACIONES TÉCNICAS DE ACRÍLICO CON LOGO INSTITUCIONAL PARA PODIO (ATRIO) DE MADERA DEL AUDITORIO DEL INSNSB</t>
  </si>
  <si>
    <t>SUB UNIDAD DE NORMALIZACION TECNICA Y DESARROLLO DE DOCENCIA</t>
  </si>
  <si>
    <t xml:space="preserve">SUB UNIDAD DE NORMALIZACION TECNICA Y DESARROLLO DE DOCENCIA </t>
  </si>
  <si>
    <t>SUNTDD20260000009</t>
  </si>
  <si>
    <t>SOLICITUD DE ELABORACIÓN DE ESPECIFICACIONES TÉCNICAS DE EQUIPOS DE ILUMINACIÓN (TACHOS PAR LED) PARA ACTIVIDADES ACADÉMICAS</t>
  </si>
  <si>
    <t>SUNTDD20260000008</t>
  </si>
  <si>
    <t>SOLICITUD DE ELABORACIÓN DE ESPECIFICACIONES TÉCNICAS DE TÓTEM INTERACTIVO MÓVIL PARA ACTIVIDADES ACADÉMICAS</t>
  </si>
  <si>
    <t>SUNTDD20260000006</t>
  </si>
  <si>
    <t>ADQUISICIÓN DE ESPECÍMENES DE LABORATORIO (RATA ALBINA), ALIMENTO BALANCEADO Y VIRUTA.</t>
  </si>
  <si>
    <t>SCEX-S20260000014</t>
  </si>
  <si>
    <t>SCEX-S20260000015</t>
  </si>
  <si>
    <t>ADQUISICIÓN DE ESPECÍMENES (GANADO PORCINO)</t>
  </si>
  <si>
    <t>SUIIT-20260000017</t>
  </si>
  <si>
    <t xml:space="preserve">SUB UNIDAD DE INVESTIGACION E INNOVACION TECNOLOGICA </t>
  </si>
  <si>
    <t>REQUERIMIENTO SERVICIOS DE EVENTOS ADMINISTRATIVOS (medallas y cheques)</t>
  </si>
  <si>
    <t>Adquisición de Fármaco de Uso Humano</t>
  </si>
  <si>
    <t>SCEX-S20260000020</t>
  </si>
  <si>
    <t>PROGRAMACION DE LAS CONTRATACIONES - CONCHA CAMARGO YOHEL EDISON</t>
  </si>
  <si>
    <t>REQUERIMIENTO DE ADQUISICIÓN DE SUTURAS QUIRÚRGICAS</t>
  </si>
  <si>
    <t>SCEX-S20260000017</t>
  </si>
  <si>
    <t>SCEX-S20260000019</t>
  </si>
  <si>
    <t>ADQUISICIÓN DE FÁRMACO DE USO VETERINARIO</t>
  </si>
  <si>
    <t>SUIIT-20260000026</t>
  </si>
  <si>
    <t>REQUERIMIENTO DE UNA ESTACIÓN DE TRABAJO PARA EL LABORATORIO DE INNOVACIÓN.</t>
  </si>
  <si>
    <t>SCEX-S20260000042</t>
  </si>
  <si>
    <t>Requerimiento de Instrumental para Microcirugía</t>
  </si>
  <si>
    <t>SCEX-S20260000041</t>
  </si>
  <si>
    <t>REQUERIMIENTO DE SET DE INSTRUMENTAL PARA NEUROCIRUGÍA</t>
  </si>
  <si>
    <t>REQUERIMIENTO DE INSTRUMENTAL QUIRÚRGICO PARA CIRUGÍA MAYOR.</t>
  </si>
  <si>
    <t>SCEX-S20260000043</t>
  </si>
  <si>
    <t>SCEX-S20260000039</t>
  </si>
  <si>
    <t>ADQUISICIÓN DE ÓPTICAS LAPAROSCÓPICAS</t>
  </si>
  <si>
    <t>SCEX-S20260000035</t>
  </si>
  <si>
    <t>REQUERIMIENTO DE INSUMOS MÉDICOS</t>
  </si>
  <si>
    <t>SUIIT-20260000024</t>
  </si>
  <si>
    <t>REQUERIMIENTO  DE SERVICIO DE SUSCRIPCIÓN ANUAL A IDENTIFICADOR DE OBJETOS DIGITALES – DOI</t>
  </si>
  <si>
    <t>EXPEDIENTE</t>
  </si>
  <si>
    <t>FECHA</t>
  </si>
  <si>
    <t>ASUNTO</t>
  </si>
  <si>
    <t>PENDIENTE</t>
  </si>
  <si>
    <t>ESTADO</t>
  </si>
  <si>
    <t>ATENDIDO</t>
  </si>
  <si>
    <t>LO VAN A DEVOLVER A CIRUGIA EXPERIMENTAL 260303</t>
  </si>
  <si>
    <t>SE ENVIO CORREO DE FECHA 03.03.2026</t>
  </si>
  <si>
    <t>COMENTARIO</t>
  </si>
  <si>
    <t>SOLICITUD DE VENTILADORES GRANDES (INDUSTRIALES) PARA AUDITORIO INSTITUCIONAL</t>
  </si>
  <si>
    <t>26802/2026</t>
  </si>
  <si>
    <t>SUNTDD20260000041</t>
  </si>
  <si>
    <t>SUNTDD20260000051</t>
  </si>
  <si>
    <t>REQUERIMIENTO DE CONTRATACIÓN DE SERVICIO DE EVENTOS ADMINISTRATIVOS PARA  RESIDENTES DE SEDE DEL INSTITUTO NACIONAL DE SALUD DEL NIÑO SAN BORJA 2026</t>
  </si>
  <si>
    <t>APRPOBACION DE CCP</t>
  </si>
  <si>
    <t>Servicio de almuerzos para participantes y ponentes de los cursos del Servicio de Cirugía Experimental.</t>
  </si>
  <si>
    <t>SCEX-S20260000091</t>
  </si>
  <si>
    <t>SCEX-S20260000106</t>
  </si>
  <si>
    <t>SERVICIO DE DISEÑO Y ELABORACIÓN DE MERCHANDISING</t>
  </si>
  <si>
    <t>SUNTDD20260000026</t>
  </si>
  <si>
    <t>SUIIT-20260000051</t>
  </si>
  <si>
    <t>Requerimiento de insumo para impresora 3D compatible con resina para el Laboratorio de Innovación</t>
  </si>
  <si>
    <t>SERVICIO DE CIRUGIA EXPERIMENTAL</t>
  </si>
  <si>
    <t>AREA USUARIA</t>
  </si>
  <si>
    <t>TIPO BIEN/SERVICIO</t>
  </si>
  <si>
    <t>SERVICIO</t>
  </si>
  <si>
    <t>NRO. ORDEN</t>
  </si>
  <si>
    <t>SIAF</t>
  </si>
  <si>
    <t>MONTO</t>
  </si>
  <si>
    <t>BIEN</t>
  </si>
  <si>
    <t>REQUERIMIENTO DE BIENES Y SERVICIOS - UDITD</t>
  </si>
  <si>
    <t>CONTRATO</t>
  </si>
  <si>
    <t>SEGUIIMENTO DE EXPEDIENTE</t>
  </si>
  <si>
    <t>USUARIO</t>
  </si>
  <si>
    <t>DEPENDENCIA</t>
  </si>
  <si>
    <t>SUIIT-20260000071</t>
  </si>
  <si>
    <t>REQUERIMIENTO  DEL SERVICIO DE DESARROLLO EDITORIAL DE REVISTAS DIGITALES</t>
  </si>
  <si>
    <t>PRESUPUESTO ESTIMADO</t>
  </si>
  <si>
    <t>PROGRAMACION DE LAS CONTRATACIONES</t>
  </si>
  <si>
    <t>CONCHA CAMARGO YOHEL EDISON</t>
  </si>
  <si>
    <t>SUNTDD20260000058</t>
  </si>
  <si>
    <t>REQUERIMIENTO DE CONTRATACION DE SERVICIO DE EVENTOS ADMINISTRATIVOS (MERCHANDISING) PARA “I CURSO INTERNACIONAL DE CALIDAD Y HUMANIZACIÓN”</t>
  </si>
  <si>
    <t>ADQUISICIONES</t>
  </si>
  <si>
    <t>240/03/2026</t>
  </si>
  <si>
    <t>PEREZ MEDRANO ANDRES OMAR</t>
  </si>
  <si>
    <t>SUNTDD20260000057</t>
  </si>
  <si>
    <t>REQUERIMIENTO DE CONTRATACION DE SERVICIO DE EVENTOS ADMINISTRATIVOS PARA “I CURSO INTERNACIONAL DE CALIDAD y humaizacion</t>
  </si>
  <si>
    <t>SCEX-S20260000116</t>
  </si>
  <si>
    <t xml:space="preserve">PROCESO DE SELECCIÓN </t>
  </si>
  <si>
    <t>RAMIREZ SARAVIA KEVIN ANDERSON</t>
  </si>
  <si>
    <t>CONTRATACIÓN DE SUMINISTRO DE GANADO PORCINO.</t>
  </si>
  <si>
    <t>SUIIT-20260000054</t>
  </si>
  <si>
    <t>Requerimiento  de la contratación del servicio especializado para la elaboración editorial integral del libro de gestión institucional del Instituto Nacional de Salud del Niño San Borja</t>
  </si>
  <si>
    <t>MARTINEZ ESTEBAN PEGGY CAROL</t>
  </si>
  <si>
    <t>PARA VALIDAR AREA USUARIA SOLO SE PRESENTA 1 SOLA COTIZACION MAYOR A 4 UIT DEBE PRESENTAR INFORME DE SUSTENTO DE LA NECESIDAD //Requerimiento  de la contratación del servicio especializado para la elaboración editorial integral del libro de gestión institucional del Instituto Nacional de Salud del Niño San Borja</t>
  </si>
  <si>
    <t xml:space="preserve"> VERGARA TELLO ROXANA</t>
  </si>
  <si>
    <t>PRESUPUESTO</t>
  </si>
  <si>
    <t>SOLICITO DISPONIBILIDAD PRESUPUESTAL PARA CONTRATACION DIRECTA PROCESO DE SELECCION: Requerimiento de la “Suscripción a Base de Datos Bibliográfica sobre Producción y Publicaciones Científicas” Software- UPTODATE</t>
  </si>
  <si>
    <t>JUAN CAHUAZA JULY SANDRA</t>
  </si>
  <si>
    <t xml:space="preserve">ENVIAR PEDIDO SIGA FIRMADO // PARA EVALUACION TÉCNICA </t>
  </si>
  <si>
    <t xml:space="preserve"> PEREZ MEDRANO ANDRES OMAR</t>
  </si>
  <si>
    <t>Indagación del mercado hasta el 26/03/2026</t>
  </si>
  <si>
    <t>Indagación del mercado hasta el 24/03/2027</t>
  </si>
  <si>
    <t>NOVOA RUIZ ANGHELA FRANCHESCA</t>
  </si>
  <si>
    <t>CAJA CHICA</t>
  </si>
  <si>
    <t>VELIZ CHUPAYO PATRICIA ILA</t>
  </si>
  <si>
    <t>.SE ATENDIÓ EL 24 DE FEBRERO DEL 2026
.FACTURA ELECTRÓNICA E001-258, CONSORCIO PROSERCON S.A.C. S/ 570.00
.SE RINDIÓ EL 26 DE FEBRERO DEL 2026</t>
  </si>
  <si>
    <t>EN PROCESO</t>
  </si>
  <si>
    <t>NOLE RETAMOZO HENRY DANIEL</t>
  </si>
  <si>
    <t>Indagación del mercado hasta el 25/03/2026</t>
  </si>
  <si>
    <t>MORI GUILLEN EDUARDO</t>
  </si>
  <si>
    <t>SOPORTE INFORMATICO</t>
  </si>
  <si>
    <t>SUB UNIDAD DE INVESTIGACION E INNOVACION TECNOLOGICA</t>
  </si>
  <si>
    <t>ARCAYA MOGOLLON JOHANNA GLADYS EUGENIA</t>
  </si>
  <si>
    <t>MEZA DIAZ MIGUEL ALBERTO</t>
  </si>
  <si>
    <t>Se solicita disponibilidad presupuestal -  Servicio de eventos administrativos para participantes y ponentes de los cursos del Servicio de Cirugía Experimental.</t>
  </si>
  <si>
    <t>COREEGIRTDR NO ESPECIFICO</t>
  </si>
  <si>
    <t>ALMACEN CENTRAL</t>
  </si>
  <si>
    <t>MEDINA PALOMINO JOSELY ALEJANDRO</t>
  </si>
  <si>
    <t>PARA SU VALIDACION // Solicitud de Requerimiento de Insumos Médicos no atendidos por Almacén de Farmacia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</si>
</sst>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;@"/>
    <numFmt numFmtId="166" formatCode="&quot;S/&quot;\ #,##0.00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1" fontId="2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166" fontId="2" fillId="0" borderId="2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166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wrapText="1"/>
    </xf>
    <xf numFmtId="1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/>
    </xf>
    <xf numFmtId="1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6" fontId="2" fillId="0" borderId="0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" fontId="1" fillId="4" borderId="1" xfId="0" applyNumberFormat="1" applyFont="1" applyFill="1" applyBorder="1" applyAlignment="1">
      <alignment horizontal="center" vertical="center" wrapText="1"/>
    </xf>
    <xf numFmtId="1" fontId="1" fillId="4" borderId="1" xfId="0" applyNumberFormat="1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4" fontId="1" fillId="4" borderId="1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66" fontId="3" fillId="0" borderId="2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166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 wrapText="1"/>
    </xf>
    <xf numFmtId="166" fontId="2" fillId="0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9"/>
  <sheetViews>
    <sheetView tabSelected="1" zoomScale="85" zoomScaleNormal="85" workbookViewId="0">
      <pane xSplit="6" ySplit="2" topLeftCell="G12" activePane="bottomRight" state="frozen"/>
      <selection pane="topRight" activeCell="F1" sqref="F1"/>
      <selection pane="bottomLeft" activeCell="A9" sqref="A9"/>
      <selection pane="bottomRight" activeCell="D18" sqref="D18"/>
    </sheetView>
  </sheetViews>
  <sheetFormatPr baseColWidth="10" defaultRowHeight="12.75" x14ac:dyDescent="0.2"/>
  <cols>
    <col min="1" max="1" width="21.140625" style="3" customWidth="1"/>
    <col min="2" max="2" width="11.42578125" style="3" customWidth="1"/>
    <col min="3" max="3" width="41.5703125" style="2" customWidth="1"/>
    <col min="4" max="4" width="47.85546875" style="31" customWidth="1"/>
    <col min="5" max="5" width="18.42578125" style="31" customWidth="1"/>
    <col min="6" max="6" width="16.140625" style="3" customWidth="1"/>
    <col min="7" max="7" width="9.7109375" style="32" customWidth="1"/>
    <col min="8" max="8" width="9.42578125" style="32" customWidth="1"/>
    <col min="9" max="9" width="12" style="4" customWidth="1"/>
    <col min="10" max="10" width="12" style="34" customWidth="1"/>
    <col min="11" max="11" width="27.28515625" style="2" customWidth="1"/>
    <col min="12" max="12" width="23.140625" style="2" customWidth="1"/>
    <col min="13" max="14" width="12" style="4" customWidth="1"/>
    <col min="15" max="15" width="40.85546875" style="2" customWidth="1"/>
    <col min="16" max="16384" width="11.42578125" style="5"/>
  </cols>
  <sheetData>
    <row r="1" spans="1:15" x14ac:dyDescent="0.2">
      <c r="A1" s="1" t="s">
        <v>69</v>
      </c>
      <c r="B1" s="1"/>
      <c r="C1" s="1"/>
      <c r="D1" s="1"/>
      <c r="E1" s="1"/>
      <c r="F1" s="1"/>
      <c r="G1" s="42" t="s">
        <v>70</v>
      </c>
      <c r="H1" s="42"/>
      <c r="I1" s="42"/>
      <c r="J1" s="42"/>
      <c r="K1" s="39" t="s">
        <v>71</v>
      </c>
      <c r="L1" s="39"/>
      <c r="M1" s="39"/>
      <c r="N1" s="39"/>
      <c r="O1" s="39"/>
    </row>
    <row r="2" spans="1:15" ht="25.5" x14ac:dyDescent="0.2">
      <c r="A2" s="7" t="s">
        <v>39</v>
      </c>
      <c r="B2" s="7" t="s">
        <v>40</v>
      </c>
      <c r="C2" s="6" t="s">
        <v>62</v>
      </c>
      <c r="D2" s="7" t="s">
        <v>41</v>
      </c>
      <c r="E2" s="7" t="s">
        <v>63</v>
      </c>
      <c r="F2" s="6" t="s">
        <v>76</v>
      </c>
      <c r="G2" s="43" t="s">
        <v>65</v>
      </c>
      <c r="H2" s="43" t="s">
        <v>66</v>
      </c>
      <c r="I2" s="44" t="s">
        <v>40</v>
      </c>
      <c r="J2" s="45" t="s">
        <v>67</v>
      </c>
      <c r="K2" s="40" t="s">
        <v>73</v>
      </c>
      <c r="L2" s="40" t="s">
        <v>72</v>
      </c>
      <c r="M2" s="41" t="s">
        <v>40</v>
      </c>
      <c r="N2" s="41" t="s">
        <v>43</v>
      </c>
      <c r="O2" s="40" t="s">
        <v>47</v>
      </c>
    </row>
    <row r="3" spans="1:15" ht="25.5" x14ac:dyDescent="0.2">
      <c r="A3" s="8" t="s">
        <v>12</v>
      </c>
      <c r="B3" s="9">
        <v>46041</v>
      </c>
      <c r="C3" s="10" t="s">
        <v>61</v>
      </c>
      <c r="D3" s="11" t="s">
        <v>11</v>
      </c>
      <c r="E3" s="12" t="s">
        <v>64</v>
      </c>
      <c r="F3" s="15">
        <v>4009.79</v>
      </c>
      <c r="G3" s="13">
        <v>131</v>
      </c>
      <c r="H3" s="13">
        <v>1434</v>
      </c>
      <c r="I3" s="14">
        <v>46076</v>
      </c>
      <c r="J3" s="15">
        <v>4009.79</v>
      </c>
      <c r="K3" s="16"/>
      <c r="L3" s="16"/>
      <c r="M3" s="14"/>
      <c r="N3" s="14" t="s">
        <v>44</v>
      </c>
      <c r="O3" s="10" t="s">
        <v>44</v>
      </c>
    </row>
    <row r="4" spans="1:15" x14ac:dyDescent="0.2">
      <c r="A4" s="8" t="s">
        <v>13</v>
      </c>
      <c r="B4" s="9">
        <v>46052</v>
      </c>
      <c r="C4" s="10" t="s">
        <v>61</v>
      </c>
      <c r="D4" s="11" t="s">
        <v>14</v>
      </c>
      <c r="E4" s="10" t="s">
        <v>64</v>
      </c>
      <c r="F4" s="15">
        <v>17920</v>
      </c>
      <c r="G4" s="17">
        <v>30</v>
      </c>
      <c r="H4" s="17">
        <v>1145</v>
      </c>
      <c r="I4" s="18">
        <v>46063</v>
      </c>
      <c r="J4" s="19">
        <v>17920</v>
      </c>
      <c r="K4" s="20"/>
      <c r="L4" s="20"/>
      <c r="M4" s="18"/>
      <c r="N4" s="18" t="s">
        <v>44</v>
      </c>
      <c r="O4" s="10" t="s">
        <v>44</v>
      </c>
    </row>
    <row r="5" spans="1:15" ht="25.5" x14ac:dyDescent="0.2">
      <c r="A5" s="8" t="s">
        <v>22</v>
      </c>
      <c r="B5" s="9">
        <v>46043</v>
      </c>
      <c r="C5" s="10" t="s">
        <v>61</v>
      </c>
      <c r="D5" s="21" t="s">
        <v>21</v>
      </c>
      <c r="E5" s="20" t="s">
        <v>68</v>
      </c>
      <c r="F5" s="15">
        <v>1392</v>
      </c>
      <c r="G5" s="17">
        <v>320</v>
      </c>
      <c r="H5" s="17">
        <v>2686</v>
      </c>
      <c r="I5" s="18">
        <v>46104</v>
      </c>
      <c r="J5" s="19">
        <v>1392</v>
      </c>
      <c r="K5" s="20" t="s">
        <v>116</v>
      </c>
      <c r="L5" s="22" t="s">
        <v>117</v>
      </c>
      <c r="M5" s="18">
        <v>46105</v>
      </c>
      <c r="N5" s="18" t="s">
        <v>44</v>
      </c>
      <c r="O5" s="10"/>
    </row>
    <row r="6" spans="1:15" x14ac:dyDescent="0.2">
      <c r="A6" s="8" t="s">
        <v>23</v>
      </c>
      <c r="B6" s="9">
        <v>46043</v>
      </c>
      <c r="C6" s="10" t="s">
        <v>61</v>
      </c>
      <c r="D6" s="21" t="s">
        <v>24</v>
      </c>
      <c r="E6" s="20" t="s">
        <v>64</v>
      </c>
      <c r="F6" s="15">
        <v>6733.01</v>
      </c>
      <c r="G6" s="17">
        <v>31</v>
      </c>
      <c r="H6" s="17">
        <v>1134</v>
      </c>
      <c r="I6" s="18">
        <v>46063</v>
      </c>
      <c r="J6" s="19">
        <v>6733.01</v>
      </c>
      <c r="K6" s="20"/>
      <c r="L6" s="20"/>
      <c r="M6" s="18"/>
      <c r="N6" s="18" t="s">
        <v>44</v>
      </c>
      <c r="O6" s="10" t="s">
        <v>44</v>
      </c>
    </row>
    <row r="7" spans="1:15" ht="38.25" x14ac:dyDescent="0.2">
      <c r="A7" s="54" t="s">
        <v>19</v>
      </c>
      <c r="B7" s="9">
        <v>46043</v>
      </c>
      <c r="C7" s="10" t="s">
        <v>61</v>
      </c>
      <c r="D7" s="21" t="s">
        <v>18</v>
      </c>
      <c r="E7" s="20" t="s">
        <v>68</v>
      </c>
      <c r="F7" s="15"/>
      <c r="G7" s="17"/>
      <c r="H7" s="17"/>
      <c r="I7" s="18"/>
      <c r="J7" s="19"/>
      <c r="K7" s="20" t="s">
        <v>20</v>
      </c>
      <c r="L7" s="20"/>
      <c r="M7" s="18">
        <v>46044</v>
      </c>
      <c r="N7" s="18" t="s">
        <v>106</v>
      </c>
      <c r="O7" s="10" t="s">
        <v>45</v>
      </c>
    </row>
    <row r="8" spans="1:15" ht="47.25" customHeight="1" x14ac:dyDescent="0.2">
      <c r="A8" s="8" t="s">
        <v>35</v>
      </c>
      <c r="B8" s="9">
        <v>46048</v>
      </c>
      <c r="C8" s="10" t="s">
        <v>61</v>
      </c>
      <c r="D8" s="21" t="s">
        <v>36</v>
      </c>
      <c r="E8" s="20" t="s">
        <v>68</v>
      </c>
      <c r="F8" s="15"/>
      <c r="G8" s="17"/>
      <c r="H8" s="17"/>
      <c r="I8" s="18"/>
      <c r="J8" s="19"/>
      <c r="K8" s="20" t="s">
        <v>61</v>
      </c>
      <c r="L8" s="20" t="s">
        <v>112</v>
      </c>
      <c r="M8" s="18">
        <v>46100</v>
      </c>
      <c r="N8" s="18" t="s">
        <v>106</v>
      </c>
      <c r="O8" s="10" t="s">
        <v>118</v>
      </c>
    </row>
    <row r="9" spans="1:15" ht="25.5" x14ac:dyDescent="0.2">
      <c r="A9" s="8" t="s">
        <v>33</v>
      </c>
      <c r="B9" s="9">
        <v>46049</v>
      </c>
      <c r="C9" s="10" t="s">
        <v>61</v>
      </c>
      <c r="D9" s="11" t="s">
        <v>34</v>
      </c>
      <c r="E9" s="10" t="s">
        <v>68</v>
      </c>
      <c r="F9" s="15">
        <v>42000</v>
      </c>
      <c r="G9" s="17">
        <v>278</v>
      </c>
      <c r="H9" s="17">
        <v>2416</v>
      </c>
      <c r="I9" s="18">
        <v>46098</v>
      </c>
      <c r="J9" s="19">
        <v>42000</v>
      </c>
      <c r="K9" s="20" t="s">
        <v>116</v>
      </c>
      <c r="L9" s="20" t="s">
        <v>117</v>
      </c>
      <c r="M9" s="18">
        <v>46101</v>
      </c>
      <c r="N9" s="18" t="s">
        <v>44</v>
      </c>
      <c r="O9" s="10" t="s">
        <v>53</v>
      </c>
    </row>
    <row r="10" spans="1:15" ht="25.5" x14ac:dyDescent="0.2">
      <c r="A10" s="8" t="s">
        <v>29</v>
      </c>
      <c r="B10" s="9">
        <v>46049</v>
      </c>
      <c r="C10" s="10" t="s">
        <v>61</v>
      </c>
      <c r="D10" s="21" t="s">
        <v>30</v>
      </c>
      <c r="E10" s="20" t="s">
        <v>64</v>
      </c>
      <c r="F10" s="15">
        <v>2694</v>
      </c>
      <c r="G10" s="17">
        <v>112</v>
      </c>
      <c r="H10" s="17">
        <v>1324</v>
      </c>
      <c r="I10" s="18">
        <v>46072</v>
      </c>
      <c r="J10" s="19">
        <v>2694</v>
      </c>
      <c r="K10" s="20"/>
      <c r="L10" s="20"/>
      <c r="M10" s="18"/>
      <c r="N10" s="18" t="s">
        <v>44</v>
      </c>
      <c r="O10" s="10" t="s">
        <v>44</v>
      </c>
    </row>
    <row r="11" spans="1:15" x14ac:dyDescent="0.2">
      <c r="A11" s="8" t="s">
        <v>27</v>
      </c>
      <c r="B11" s="9">
        <v>46050</v>
      </c>
      <c r="C11" s="10" t="s">
        <v>61</v>
      </c>
      <c r="D11" s="21" t="s">
        <v>28</v>
      </c>
      <c r="E11" s="20" t="s">
        <v>64</v>
      </c>
      <c r="F11" s="15">
        <v>5760</v>
      </c>
      <c r="G11" s="17">
        <v>82</v>
      </c>
      <c r="H11" s="17">
        <v>1230</v>
      </c>
      <c r="I11" s="18">
        <v>46069</v>
      </c>
      <c r="J11" s="19">
        <v>5760</v>
      </c>
      <c r="K11" s="20"/>
      <c r="L11" s="20"/>
      <c r="M11" s="18"/>
      <c r="N11" s="18" t="s">
        <v>44</v>
      </c>
      <c r="O11" s="10" t="s">
        <v>44</v>
      </c>
    </row>
    <row r="12" spans="1:15" ht="25.5" x14ac:dyDescent="0.2">
      <c r="A12" s="8" t="s">
        <v>32</v>
      </c>
      <c r="B12" s="9">
        <v>46049</v>
      </c>
      <c r="C12" s="10" t="s">
        <v>61</v>
      </c>
      <c r="D12" s="21" t="s">
        <v>31</v>
      </c>
      <c r="E12" s="20" t="s">
        <v>64</v>
      </c>
      <c r="F12" s="15">
        <v>900</v>
      </c>
      <c r="G12" s="17">
        <v>113</v>
      </c>
      <c r="H12" s="17">
        <v>1325</v>
      </c>
      <c r="I12" s="18">
        <v>46072</v>
      </c>
      <c r="J12" s="19">
        <v>900</v>
      </c>
      <c r="K12" s="20"/>
      <c r="L12" s="20"/>
      <c r="M12" s="18"/>
      <c r="N12" s="18" t="s">
        <v>44</v>
      </c>
      <c r="O12" s="10" t="s">
        <v>44</v>
      </c>
    </row>
    <row r="13" spans="1:15" ht="51" x14ac:dyDescent="0.2">
      <c r="A13" s="8" t="s">
        <v>55</v>
      </c>
      <c r="B13" s="9">
        <v>46083</v>
      </c>
      <c r="C13" s="10" t="s">
        <v>61</v>
      </c>
      <c r="D13" s="21" t="s">
        <v>54</v>
      </c>
      <c r="E13" s="20" t="s">
        <v>64</v>
      </c>
      <c r="F13" s="15">
        <v>8700</v>
      </c>
      <c r="G13" s="23"/>
      <c r="H13" s="23"/>
      <c r="I13" s="24"/>
      <c r="J13" s="25"/>
      <c r="K13" s="10" t="s">
        <v>4</v>
      </c>
      <c r="L13" s="10" t="s">
        <v>113</v>
      </c>
      <c r="M13" s="24">
        <v>46106</v>
      </c>
      <c r="N13" s="24" t="s">
        <v>106</v>
      </c>
      <c r="O13" s="10" t="s">
        <v>114</v>
      </c>
    </row>
    <row r="14" spans="1:15" ht="25.5" x14ac:dyDescent="0.2">
      <c r="A14" s="8" t="s">
        <v>56</v>
      </c>
      <c r="B14" s="9">
        <v>46093</v>
      </c>
      <c r="C14" s="10" t="s">
        <v>61</v>
      </c>
      <c r="D14" s="21" t="s">
        <v>57</v>
      </c>
      <c r="E14" s="20" t="s">
        <v>64</v>
      </c>
      <c r="F14" s="15"/>
      <c r="G14" s="23"/>
      <c r="H14" s="23"/>
      <c r="I14" s="24"/>
      <c r="J14" s="25"/>
      <c r="K14" s="10" t="s">
        <v>61</v>
      </c>
      <c r="L14" s="10" t="s">
        <v>112</v>
      </c>
      <c r="M14" s="24">
        <v>46104</v>
      </c>
      <c r="N14" s="24" t="s">
        <v>106</v>
      </c>
      <c r="O14" s="10" t="s">
        <v>115</v>
      </c>
    </row>
    <row r="15" spans="1:15" ht="25.5" x14ac:dyDescent="0.2">
      <c r="A15" s="8" t="s">
        <v>86</v>
      </c>
      <c r="B15" s="9">
        <v>46103</v>
      </c>
      <c r="C15" s="10" t="s">
        <v>61</v>
      </c>
      <c r="D15" s="30" t="s">
        <v>89</v>
      </c>
      <c r="E15" s="37"/>
      <c r="F15" s="15"/>
      <c r="G15" s="23"/>
      <c r="H15" s="23"/>
      <c r="I15" s="24"/>
      <c r="J15" s="25"/>
      <c r="K15" s="10" t="s">
        <v>87</v>
      </c>
      <c r="L15" s="10" t="s">
        <v>88</v>
      </c>
      <c r="M15" s="24">
        <v>46103</v>
      </c>
      <c r="N15" s="24" t="s">
        <v>106</v>
      </c>
      <c r="O15" s="10"/>
    </row>
    <row r="16" spans="1:15" ht="25.5" x14ac:dyDescent="0.2">
      <c r="A16" s="8" t="s">
        <v>15</v>
      </c>
      <c r="B16" s="9">
        <v>46043</v>
      </c>
      <c r="C16" s="10" t="s">
        <v>16</v>
      </c>
      <c r="D16" s="21" t="s">
        <v>17</v>
      </c>
      <c r="E16" s="20" t="s">
        <v>64</v>
      </c>
      <c r="F16" s="15">
        <v>684.4</v>
      </c>
      <c r="G16" s="17">
        <v>879</v>
      </c>
      <c r="H16" s="17">
        <v>1417</v>
      </c>
      <c r="I16" s="18">
        <v>46076</v>
      </c>
      <c r="J16" s="19">
        <v>684</v>
      </c>
      <c r="K16" s="10"/>
      <c r="L16" s="20"/>
      <c r="M16" s="18"/>
      <c r="N16" s="18" t="s">
        <v>44</v>
      </c>
      <c r="O16" s="10" t="s">
        <v>44</v>
      </c>
    </row>
    <row r="17" spans="1:15" ht="25.5" x14ac:dyDescent="0.2">
      <c r="A17" s="8" t="s">
        <v>37</v>
      </c>
      <c r="B17" s="9">
        <v>46055</v>
      </c>
      <c r="C17" s="10" t="s">
        <v>16</v>
      </c>
      <c r="D17" s="21" t="s">
        <v>38</v>
      </c>
      <c r="E17" s="20" t="s">
        <v>64</v>
      </c>
      <c r="F17" s="15">
        <v>2700</v>
      </c>
      <c r="G17" s="23">
        <v>1739</v>
      </c>
      <c r="H17" s="23">
        <v>2687</v>
      </c>
      <c r="I17" s="24">
        <v>46104</v>
      </c>
      <c r="J17" s="25">
        <v>2700</v>
      </c>
      <c r="K17" s="10" t="s">
        <v>111</v>
      </c>
      <c r="L17" s="10" t="s">
        <v>92</v>
      </c>
      <c r="M17" s="24">
        <v>46105</v>
      </c>
      <c r="N17" s="24" t="s">
        <v>44</v>
      </c>
      <c r="O17" s="10"/>
    </row>
    <row r="18" spans="1:15" ht="25.5" x14ac:dyDescent="0.2">
      <c r="A18" s="8" t="s">
        <v>25</v>
      </c>
      <c r="B18" s="9">
        <v>46063</v>
      </c>
      <c r="C18" s="10" t="s">
        <v>16</v>
      </c>
      <c r="D18" s="21" t="s">
        <v>26</v>
      </c>
      <c r="E18" s="20" t="s">
        <v>68</v>
      </c>
      <c r="F18" s="15"/>
      <c r="G18" s="17"/>
      <c r="H18" s="17"/>
      <c r="I18" s="18"/>
      <c r="J18" s="19"/>
      <c r="K18" s="20" t="s">
        <v>110</v>
      </c>
      <c r="L18" s="20" t="s">
        <v>109</v>
      </c>
      <c r="M18" s="18">
        <v>46069</v>
      </c>
      <c r="N18" s="18"/>
      <c r="O18" s="10" t="s">
        <v>46</v>
      </c>
    </row>
    <row r="19" spans="1:15" ht="25.5" x14ac:dyDescent="0.2">
      <c r="A19" s="8" t="s">
        <v>59</v>
      </c>
      <c r="B19" s="9">
        <v>46105</v>
      </c>
      <c r="C19" s="10" t="s">
        <v>16</v>
      </c>
      <c r="D19" s="21" t="s">
        <v>60</v>
      </c>
      <c r="E19" s="20" t="s">
        <v>68</v>
      </c>
      <c r="F19" s="15"/>
      <c r="G19" s="23"/>
      <c r="H19" s="23"/>
      <c r="I19" s="24"/>
      <c r="J19" s="25"/>
      <c r="K19" s="10" t="s">
        <v>81</v>
      </c>
      <c r="L19" s="10" t="s">
        <v>107</v>
      </c>
      <c r="M19" s="24">
        <v>46100</v>
      </c>
      <c r="N19" s="24" t="s">
        <v>106</v>
      </c>
      <c r="O19" s="10" t="s">
        <v>108</v>
      </c>
    </row>
    <row r="20" spans="1:15" ht="102" x14ac:dyDescent="0.2">
      <c r="A20" s="8" t="s">
        <v>90</v>
      </c>
      <c r="B20" s="9">
        <v>46085</v>
      </c>
      <c r="C20" s="10" t="s">
        <v>16</v>
      </c>
      <c r="D20" s="38" t="s">
        <v>91</v>
      </c>
      <c r="E20" s="8" t="s">
        <v>64</v>
      </c>
      <c r="F20" s="15"/>
      <c r="G20" s="23"/>
      <c r="H20" s="23"/>
      <c r="I20" s="24"/>
      <c r="J20" s="25"/>
      <c r="K20" s="10" t="s">
        <v>16</v>
      </c>
      <c r="L20" s="10" t="s">
        <v>92</v>
      </c>
      <c r="M20" s="24">
        <v>46106</v>
      </c>
      <c r="N20" s="24" t="s">
        <v>106</v>
      </c>
      <c r="O20" s="10" t="s">
        <v>93</v>
      </c>
    </row>
    <row r="21" spans="1:15" ht="25.5" x14ac:dyDescent="0.2">
      <c r="A21" s="54" t="s">
        <v>74</v>
      </c>
      <c r="B21" s="9">
        <v>46104</v>
      </c>
      <c r="C21" s="10" t="s">
        <v>16</v>
      </c>
      <c r="D21" s="30" t="s">
        <v>75</v>
      </c>
      <c r="E21" s="10" t="s">
        <v>64</v>
      </c>
      <c r="F21" s="15">
        <v>15000</v>
      </c>
      <c r="G21" s="23"/>
      <c r="H21" s="23"/>
      <c r="I21" s="24"/>
      <c r="J21" s="25"/>
      <c r="K21" s="10" t="s">
        <v>77</v>
      </c>
      <c r="L21" s="10" t="s">
        <v>78</v>
      </c>
      <c r="M21" s="24">
        <v>46106</v>
      </c>
      <c r="N21" s="24" t="s">
        <v>106</v>
      </c>
      <c r="O21" s="10"/>
    </row>
    <row r="22" spans="1:15" ht="63.75" x14ac:dyDescent="0.2">
      <c r="A22" s="54" t="s">
        <v>0</v>
      </c>
      <c r="B22" s="46">
        <v>46029</v>
      </c>
      <c r="C22" s="47" t="s">
        <v>5</v>
      </c>
      <c r="D22" s="48" t="s">
        <v>1</v>
      </c>
      <c r="E22" s="47" t="s">
        <v>64</v>
      </c>
      <c r="F22" s="49">
        <v>126950</v>
      </c>
      <c r="G22" s="50"/>
      <c r="H22" s="50"/>
      <c r="I22" s="51"/>
      <c r="J22" s="52"/>
      <c r="K22" s="53" t="s">
        <v>95</v>
      </c>
      <c r="L22" s="53" t="s">
        <v>94</v>
      </c>
      <c r="M22" s="51">
        <v>46106</v>
      </c>
      <c r="N22" s="51" t="s">
        <v>106</v>
      </c>
      <c r="O22" s="47" t="s">
        <v>96</v>
      </c>
    </row>
    <row r="23" spans="1:15" ht="38.25" x14ac:dyDescent="0.2">
      <c r="A23" s="55" t="s">
        <v>10</v>
      </c>
      <c r="B23" s="27">
        <v>46037</v>
      </c>
      <c r="C23" s="28" t="s">
        <v>4</v>
      </c>
      <c r="D23" s="29" t="s">
        <v>9</v>
      </c>
      <c r="E23" s="28"/>
      <c r="F23" s="15"/>
      <c r="G23" s="56"/>
      <c r="H23" s="56"/>
      <c r="I23" s="57"/>
      <c r="J23" s="58"/>
      <c r="K23" s="20" t="s">
        <v>2</v>
      </c>
      <c r="L23" s="20"/>
      <c r="M23" s="57">
        <v>46037</v>
      </c>
      <c r="N23" s="57" t="s">
        <v>42</v>
      </c>
      <c r="O23" s="10"/>
    </row>
    <row r="24" spans="1:15" ht="38.25" x14ac:dyDescent="0.2">
      <c r="A24" s="54" t="s">
        <v>8</v>
      </c>
      <c r="B24" s="9">
        <v>46037</v>
      </c>
      <c r="C24" s="10" t="s">
        <v>4</v>
      </c>
      <c r="D24" s="11" t="s">
        <v>7</v>
      </c>
      <c r="E24" s="10"/>
      <c r="F24" s="15"/>
      <c r="G24" s="17"/>
      <c r="H24" s="17"/>
      <c r="I24" s="18"/>
      <c r="J24" s="19"/>
      <c r="K24" s="20" t="s">
        <v>4</v>
      </c>
      <c r="L24" s="20" t="s">
        <v>97</v>
      </c>
      <c r="M24" s="18">
        <v>46105</v>
      </c>
      <c r="N24" s="18" t="s">
        <v>106</v>
      </c>
      <c r="O24" s="10" t="s">
        <v>98</v>
      </c>
    </row>
    <row r="25" spans="1:15" ht="51" x14ac:dyDescent="0.2">
      <c r="A25" s="54" t="s">
        <v>6</v>
      </c>
      <c r="B25" s="9">
        <v>46037</v>
      </c>
      <c r="C25" s="10" t="s">
        <v>4</v>
      </c>
      <c r="D25" s="11" t="s">
        <v>3</v>
      </c>
      <c r="E25" s="10"/>
      <c r="F25" s="15">
        <v>570</v>
      </c>
      <c r="G25" s="17"/>
      <c r="H25" s="17"/>
      <c r="I25" s="18"/>
      <c r="J25" s="19">
        <v>570</v>
      </c>
      <c r="K25" s="20" t="s">
        <v>103</v>
      </c>
      <c r="L25" s="20" t="s">
        <v>104</v>
      </c>
      <c r="M25" s="18">
        <v>46079</v>
      </c>
      <c r="N25" s="18" t="s">
        <v>44</v>
      </c>
      <c r="O25" s="10" t="s">
        <v>105</v>
      </c>
    </row>
    <row r="26" spans="1:15" ht="38.25" x14ac:dyDescent="0.2">
      <c r="A26" s="54" t="s">
        <v>58</v>
      </c>
      <c r="B26" s="9">
        <v>46037</v>
      </c>
      <c r="C26" s="35" t="s">
        <v>4</v>
      </c>
      <c r="D26" s="11" t="s">
        <v>3</v>
      </c>
      <c r="E26" s="10"/>
      <c r="F26" s="15"/>
      <c r="G26" s="23"/>
      <c r="H26" s="23"/>
      <c r="I26" s="24"/>
      <c r="J26" s="25"/>
      <c r="K26" s="10" t="s">
        <v>81</v>
      </c>
      <c r="L26" s="10" t="s">
        <v>99</v>
      </c>
      <c r="M26" s="24">
        <v>46079</v>
      </c>
      <c r="N26" s="24" t="s">
        <v>106</v>
      </c>
      <c r="O26" s="10" t="s">
        <v>100</v>
      </c>
    </row>
    <row r="27" spans="1:15" ht="25.5" x14ac:dyDescent="0.2">
      <c r="A27" s="54" t="s">
        <v>50</v>
      </c>
      <c r="B27" s="8" t="s">
        <v>49</v>
      </c>
      <c r="C27" s="10" t="s">
        <v>4</v>
      </c>
      <c r="D27" s="21" t="s">
        <v>48</v>
      </c>
      <c r="E27" s="20"/>
      <c r="F27" s="19"/>
      <c r="G27" s="23"/>
      <c r="H27" s="23"/>
      <c r="I27" s="24"/>
      <c r="J27" s="25"/>
      <c r="K27" s="10" t="s">
        <v>81</v>
      </c>
      <c r="L27" s="10" t="s">
        <v>99</v>
      </c>
      <c r="M27" s="24">
        <v>46098</v>
      </c>
      <c r="N27" s="24" t="s">
        <v>106</v>
      </c>
      <c r="O27" s="10" t="s">
        <v>100</v>
      </c>
    </row>
    <row r="28" spans="1:15" ht="38.25" x14ac:dyDescent="0.2">
      <c r="A28" s="54" t="s">
        <v>51</v>
      </c>
      <c r="B28" s="9">
        <v>46091</v>
      </c>
      <c r="C28" s="10" t="s">
        <v>4</v>
      </c>
      <c r="D28" s="30" t="s">
        <v>52</v>
      </c>
      <c r="E28" s="10" t="s">
        <v>64</v>
      </c>
      <c r="F28" s="19"/>
      <c r="G28" s="23"/>
      <c r="H28" s="23"/>
      <c r="I28" s="24"/>
      <c r="J28" s="25"/>
      <c r="K28" s="10" t="s">
        <v>81</v>
      </c>
      <c r="L28" s="10" t="s">
        <v>102</v>
      </c>
      <c r="M28" s="24">
        <v>46095</v>
      </c>
      <c r="N28" s="24" t="s">
        <v>106</v>
      </c>
      <c r="O28" s="10" t="s">
        <v>101</v>
      </c>
    </row>
    <row r="29" spans="1:15" ht="38.25" x14ac:dyDescent="0.2">
      <c r="A29" s="8" t="s">
        <v>84</v>
      </c>
      <c r="B29" s="9">
        <v>46101</v>
      </c>
      <c r="C29" s="10" t="s">
        <v>4</v>
      </c>
      <c r="D29" s="30" t="s">
        <v>85</v>
      </c>
      <c r="E29" s="10" t="s">
        <v>64</v>
      </c>
      <c r="F29" s="19"/>
      <c r="G29" s="23"/>
      <c r="H29" s="23"/>
      <c r="I29" s="24"/>
      <c r="J29" s="25"/>
      <c r="K29" s="10" t="s">
        <v>77</v>
      </c>
      <c r="L29" s="10" t="s">
        <v>78</v>
      </c>
      <c r="M29" s="24">
        <v>46104</v>
      </c>
      <c r="N29" s="24" t="s">
        <v>106</v>
      </c>
      <c r="O29" s="10"/>
    </row>
    <row r="30" spans="1:15" ht="38.25" x14ac:dyDescent="0.2">
      <c r="A30" s="8" t="s">
        <v>79</v>
      </c>
      <c r="B30" s="9">
        <v>46101</v>
      </c>
      <c r="C30" s="35" t="s">
        <v>4</v>
      </c>
      <c r="D30" s="30" t="s">
        <v>80</v>
      </c>
      <c r="E30" s="10" t="s">
        <v>64</v>
      </c>
      <c r="F30" s="19"/>
      <c r="G30" s="23"/>
      <c r="H30" s="23"/>
      <c r="I30" s="24"/>
      <c r="J30" s="25"/>
      <c r="K30" s="10" t="s">
        <v>81</v>
      </c>
      <c r="L30" s="10" t="s">
        <v>83</v>
      </c>
      <c r="M30" s="24" t="s">
        <v>82</v>
      </c>
      <c r="N30" s="24" t="s">
        <v>106</v>
      </c>
      <c r="O30" s="10"/>
    </row>
    <row r="31" spans="1:15" x14ac:dyDescent="0.2">
      <c r="F31" s="36">
        <f>SUM(F3:F30)</f>
        <v>236013.2</v>
      </c>
      <c r="G31" s="36"/>
      <c r="H31" s="36"/>
      <c r="I31" s="36"/>
      <c r="J31" s="36">
        <f>SUM(J3:J30)</f>
        <v>85362.8</v>
      </c>
    </row>
    <row r="32" spans="1:15" x14ac:dyDescent="0.2">
      <c r="F32" s="36"/>
      <c r="J32" s="33"/>
    </row>
    <row r="33" spans="6:10" x14ac:dyDescent="0.2">
      <c r="F33" s="36"/>
      <c r="J33" s="33"/>
    </row>
    <row r="34" spans="6:10" x14ac:dyDescent="0.2">
      <c r="F34" s="36"/>
      <c r="J34" s="33"/>
    </row>
    <row r="35" spans="6:10" x14ac:dyDescent="0.2">
      <c r="F35" s="36"/>
      <c r="J35" s="33"/>
    </row>
    <row r="36" spans="6:10" x14ac:dyDescent="0.2">
      <c r="F36" s="36"/>
      <c r="J36" s="33"/>
    </row>
    <row r="37" spans="6:10" x14ac:dyDescent="0.2">
      <c r="F37" s="36"/>
      <c r="J37" s="33"/>
    </row>
    <row r="38" spans="6:10" x14ac:dyDescent="0.2">
      <c r="F38" s="36"/>
      <c r="J38" s="33"/>
    </row>
    <row r="39" spans="6:10" x14ac:dyDescent="0.2">
      <c r="F39" s="36"/>
      <c r="J39" s="33"/>
    </row>
    <row r="40" spans="6:10" x14ac:dyDescent="0.2">
      <c r="F40" s="36"/>
      <c r="J40" s="33"/>
    </row>
    <row r="41" spans="6:10" x14ac:dyDescent="0.2">
      <c r="F41" s="36"/>
      <c r="J41" s="33"/>
    </row>
    <row r="42" spans="6:10" x14ac:dyDescent="0.2">
      <c r="F42" s="36"/>
      <c r="J42" s="33"/>
    </row>
    <row r="43" spans="6:10" x14ac:dyDescent="0.2">
      <c r="F43" s="36"/>
      <c r="J43" s="33"/>
    </row>
    <row r="44" spans="6:10" x14ac:dyDescent="0.2">
      <c r="F44" s="36"/>
      <c r="J44" s="33"/>
    </row>
    <row r="45" spans="6:10" x14ac:dyDescent="0.2">
      <c r="F45" s="36"/>
      <c r="J45" s="33"/>
    </row>
    <row r="46" spans="6:10" x14ac:dyDescent="0.2">
      <c r="F46" s="36"/>
      <c r="J46" s="33"/>
    </row>
    <row r="47" spans="6:10" x14ac:dyDescent="0.2">
      <c r="F47" s="26"/>
      <c r="J47" s="33"/>
    </row>
    <row r="48" spans="6:10" x14ac:dyDescent="0.2">
      <c r="F48" s="26"/>
      <c r="J48" s="33"/>
    </row>
    <row r="49" spans="6:6" x14ac:dyDescent="0.2">
      <c r="F49" s="26"/>
    </row>
    <row r="50" spans="6:6" x14ac:dyDescent="0.2">
      <c r="F50" s="26"/>
    </row>
    <row r="51" spans="6:6" x14ac:dyDescent="0.2">
      <c r="F51" s="26"/>
    </row>
    <row r="52" spans="6:6" x14ac:dyDescent="0.2">
      <c r="F52" s="26"/>
    </row>
    <row r="53" spans="6:6" x14ac:dyDescent="0.2">
      <c r="F53" s="26"/>
    </row>
    <row r="54" spans="6:6" x14ac:dyDescent="0.2">
      <c r="F54" s="26"/>
    </row>
    <row r="55" spans="6:6" x14ac:dyDescent="0.2">
      <c r="F55" s="26"/>
    </row>
    <row r="56" spans="6:6" x14ac:dyDescent="0.2">
      <c r="F56" s="26"/>
    </row>
    <row r="57" spans="6:6" x14ac:dyDescent="0.2">
      <c r="F57" s="26"/>
    </row>
    <row r="58" spans="6:6" x14ac:dyDescent="0.2">
      <c r="F58" s="26"/>
    </row>
    <row r="59" spans="6:6" x14ac:dyDescent="0.2">
      <c r="F59" s="26"/>
    </row>
  </sheetData>
  <mergeCells count="3">
    <mergeCell ref="A1:F1"/>
    <mergeCell ref="G1:J1"/>
    <mergeCell ref="K1:O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WILLIAM LA ROSA VARGAS</dc:creator>
  <cp:lastModifiedBy>FRANCISCO WILLIAM LA ROSA VARGAS</cp:lastModifiedBy>
  <dcterms:created xsi:type="dcterms:W3CDTF">2026-01-21T13:52:11Z</dcterms:created>
  <dcterms:modified xsi:type="dcterms:W3CDTF">2026-03-25T19:23:10Z</dcterms:modified>
</cp:coreProperties>
</file>